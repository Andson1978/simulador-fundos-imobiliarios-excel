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So\Desktop\"/>
    </mc:Choice>
  </mc:AlternateContent>
  <xr:revisionPtr revIDLastSave="0" documentId="13_ncr:1_{9B54BBE2-52EC-4271-BD8D-8718734F6FE8}" xr6:coauthVersionLast="47" xr6:coauthVersionMax="47" xr10:uidLastSave="{00000000-0000-0000-0000-000000000000}"/>
  <bookViews>
    <workbookView xWindow="-108" yWindow="-108" windowWidth="23256" windowHeight="12456" xr2:uid="{6C8F3838-2362-4487-8E80-72824A609353}"/>
  </bookViews>
  <sheets>
    <sheet name="SIMULADOR DE INVESTIMENTO" sheetId="1" r:id="rId1"/>
    <sheet name="TABELA DE APOIO" sheetId="3" r:id="rId2"/>
  </sheets>
  <definedNames>
    <definedName name="Aporte">'SIMULADOR DE INVESTIMENTO'!$C$12</definedName>
    <definedName name="Dividendos_Mensais">'SIMULADOR DE INVESTIMENTO'!$C$16</definedName>
    <definedName name="Patrimonio_Acumulado">'SIMULADOR DE INVESTIMENTO'!$C$15</definedName>
    <definedName name="Qtd_Anos">'SIMULADOR DE INVESTIMENTO'!$C$13</definedName>
    <definedName name="Rendimento_de_Carteira">'SIMULADOR DE INVESTIMENTO'!$C$8</definedName>
    <definedName name="Rendimento_Mensal">'SIMULADOR DE INVESTIMENTO'!$C$14</definedName>
    <definedName name="Salario">'SIMULADOR DE INVESTIMENTO'!$C$7</definedName>
    <definedName name="Sugestao_de_Investimento">'SIMULADOR DE INVESTIMENTO'!$C$9</definedName>
    <definedName name="Taxa_Mensal">'SIMULADOR DE INVESTIMENTO'!$C$14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6" i="1" l="1"/>
  <c r="D23" i="3"/>
  <c r="D16" i="3"/>
  <c r="D9" i="3"/>
  <c r="A17" i="3"/>
  <c r="A18" i="3"/>
  <c r="A19" i="3"/>
  <c r="A20" i="3"/>
  <c r="A21" i="3"/>
  <c r="A22" i="3"/>
  <c r="A11" i="3"/>
  <c r="A12" i="3"/>
  <c r="A13" i="3"/>
  <c r="A14" i="3"/>
  <c r="A15" i="3"/>
  <c r="A10" i="3"/>
  <c r="A4" i="3"/>
  <c r="A5" i="3"/>
  <c r="A6" i="3"/>
  <c r="A7" i="3"/>
  <c r="A8" i="3"/>
  <c r="A3" i="3"/>
  <c r="D15" i="1"/>
  <c r="D16" i="1" s="1"/>
  <c r="D9" i="1"/>
  <c r="C20" i="1"/>
  <c r="D20" i="1" s="1"/>
  <c r="C21" i="1"/>
  <c r="D21" i="1" s="1"/>
  <c r="C22" i="1"/>
  <c r="D22" i="1" s="1"/>
  <c r="C23" i="1"/>
  <c r="D23" i="1" s="1"/>
  <c r="C19" i="1"/>
  <c r="D19" i="1" s="1"/>
  <c r="C31" i="1" l="1"/>
  <c r="D31" i="1" s="1"/>
  <c r="C32" i="1"/>
  <c r="D32" i="1" s="1"/>
  <c r="C33" i="1"/>
  <c r="D33" i="1" s="1"/>
  <c r="C29" i="1"/>
  <c r="D29" i="1" s="1"/>
  <c r="C34" i="1"/>
  <c r="D34" i="1" s="1"/>
  <c r="C30" i="1"/>
  <c r="D30" i="1" s="1"/>
  <c r="D35" i="1" l="1"/>
</calcChain>
</file>

<file path=xl/sharedStrings.xml><?xml version="1.0" encoding="utf-8"?>
<sst xmlns="http://schemas.openxmlformats.org/spreadsheetml/2006/main" count="73" uniqueCount="35">
  <si>
    <t>Taxa de Rendimento</t>
  </si>
  <si>
    <t>INVESTIMENTO MENSAL</t>
  </si>
  <si>
    <t>CENÁRIOS</t>
  </si>
  <si>
    <t>DIVIDENDO</t>
  </si>
  <si>
    <t>SIMULADOR DE PATRIMONIO</t>
  </si>
  <si>
    <t>CONFIGURAÇÕES</t>
  </si>
  <si>
    <t>Sálario</t>
  </si>
  <si>
    <t>Rendimento de Carteira</t>
  </si>
  <si>
    <t>Quanto Investir por Mês?</t>
  </si>
  <si>
    <t>Por Quantos Anos?</t>
  </si>
  <si>
    <t>Patrimonio Acumulado?</t>
  </si>
  <si>
    <t>Dividendo Mensais?</t>
  </si>
  <si>
    <t>TIJOLO</t>
  </si>
  <si>
    <t>PAPEL</t>
  </si>
  <si>
    <t>HIBRIDO</t>
  </si>
  <si>
    <t>DESENVOLVIMENTOS</t>
  </si>
  <si>
    <t>FUNDOS FOF</t>
  </si>
  <si>
    <t>PERFIL</t>
  </si>
  <si>
    <t>AGRESSIVO</t>
  </si>
  <si>
    <t>CONSERVADOR</t>
  </si>
  <si>
    <t>VALOR A SER INVESTIDO POR MÊS</t>
  </si>
  <si>
    <t>TIPOS DE FII</t>
  </si>
  <si>
    <t>HOTELARIAS</t>
  </si>
  <si>
    <t>Percentual Sugerido</t>
  </si>
  <si>
    <t>Valores</t>
  </si>
  <si>
    <t>%</t>
  </si>
  <si>
    <t>CHAVE COMPOSTA</t>
  </si>
  <si>
    <t>MODERADO</t>
  </si>
  <si>
    <t>Sugestão de investimento (30%)</t>
  </si>
  <si>
    <t>Quanto em 2 anos?</t>
  </si>
  <si>
    <t>Quanto em 5 anos?</t>
  </si>
  <si>
    <t>Quanto em 10 anos?</t>
  </si>
  <si>
    <t>Quanto em 20 anos?</t>
  </si>
  <si>
    <t>Quanto em 30 anos?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</si>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</sst>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Segoe UI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Segoe UI"/>
      <family val="2"/>
    </font>
    <font>
      <b/>
      <sz val="14"/>
      <color theme="1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-0.249977111117893"/>
        <bgColor theme="9" tint="-0.49998474074526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theme="9" tint="-0.499984740745262"/>
      </patternFill>
    </fill>
    <fill>
      <patternFill patternType="solid">
        <fgColor theme="0" tint="-0.14999847407452621"/>
        <bgColor theme="9" tint="-0.49998474074526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theme="9" tint="-0.499984740745262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theme="9" tint="-0.499984740745262"/>
      </patternFill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 style="thick">
        <color theme="9" tint="-0.24994659260841701"/>
      </left>
      <right/>
      <top/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/>
      <diagonal/>
    </border>
    <border>
      <left/>
      <right style="medium">
        <color theme="9" tint="-0.24994659260841701"/>
      </right>
      <top style="medium">
        <color theme="9" tint="-0.24994659260841701"/>
      </top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 style="thick">
        <color theme="9" tint="-0.24994659260841701"/>
      </bottom>
      <diagonal/>
    </border>
    <border>
      <left/>
      <right/>
      <top style="medium">
        <color theme="9" tint="-0.24994659260841701"/>
      </top>
      <bottom style="thick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thick">
        <color theme="9" tint="-0.24994659260841701"/>
      </bottom>
      <diagonal/>
    </border>
    <border>
      <left style="medium">
        <color theme="9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theme="9" tint="-0.24994659260841701"/>
      </right>
      <top/>
      <bottom style="thin">
        <color theme="2" tint="-0.24994659260841701"/>
      </bottom>
      <diagonal/>
    </border>
    <border>
      <left style="medium">
        <color theme="9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theme="9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theme="9" tint="-0.24994659260841701"/>
      </left>
      <right style="thin">
        <color theme="2" tint="-0.24994659260841701"/>
      </right>
      <top style="thin">
        <color theme="2" tint="-0.24994659260841701"/>
      </top>
      <bottom style="medium">
        <color theme="9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medium">
        <color theme="9" tint="-0.24994659260841701"/>
      </bottom>
      <diagonal/>
    </border>
    <border>
      <left style="thin">
        <color theme="2" tint="-0.24994659260841701"/>
      </left>
      <right style="medium">
        <color theme="9" tint="-0.24994659260841701"/>
      </right>
      <top style="thin">
        <color theme="2" tint="-0.24994659260841701"/>
      </top>
      <bottom style="medium">
        <color theme="9" tint="-0.24994659260841701"/>
      </bottom>
      <diagonal/>
    </border>
    <border>
      <left style="medium">
        <color theme="9" tint="-0.24994659260841701"/>
      </left>
      <right style="thin">
        <color theme="2" tint="-0.24994659260841701"/>
      </right>
      <top style="thick">
        <color theme="9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ck">
        <color theme="9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theme="9" tint="-0.24994659260841701"/>
      </right>
      <top style="thick">
        <color theme="9" tint="-0.24994659260841701"/>
      </top>
      <bottom style="thin">
        <color theme="2" tint="-0.24994659260841701"/>
      </bottom>
      <diagonal/>
    </border>
    <border>
      <left style="medium">
        <color theme="2" tint="-0.24994659260841701"/>
      </left>
      <right style="medium">
        <color theme="2" tint="-0.24994659260841701"/>
      </right>
      <top style="medium">
        <color theme="2" tint="-0.24994659260841701"/>
      </top>
      <bottom style="medium">
        <color theme="2" tint="-0.24994659260841701"/>
      </bottom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thick">
        <color theme="9" tint="-0.24994659260841701"/>
      </left>
      <right/>
      <top style="thick">
        <color theme="9" tint="-0.24994659260841701"/>
      </top>
      <bottom style="thick">
        <color theme="9" tint="-0.24994659260841701"/>
      </bottom>
      <diagonal/>
    </border>
    <border>
      <left/>
      <right/>
      <top style="thick">
        <color theme="9" tint="-0.24994659260841701"/>
      </top>
      <bottom style="thick">
        <color theme="9" tint="-0.24994659260841701"/>
      </bottom>
      <diagonal/>
    </border>
    <border>
      <left/>
      <right style="thick">
        <color theme="9" tint="-0.24994659260841701"/>
      </right>
      <top style="thick">
        <color theme="9" tint="-0.24994659260841701"/>
      </top>
      <bottom style="thick">
        <color theme="9" tint="-0.24994659260841701"/>
      </bottom>
      <diagonal/>
    </border>
  </borders>
  <cellStyleXfs count="1">
    <xf numFmtId="0" fontId="0" fillId="0" borderId="0"/>
  </cellStyleXfs>
  <cellXfs count="73">
    <xf numFmtId="0" fontId="0" fillId="0" borderId="0" xfId="0"/>
    <xf numFmtId="8" fontId="0" fillId="0" borderId="0" xfId="0" applyNumberFormat="1"/>
    <xf numFmtId="0" fontId="2" fillId="3" borderId="0" xfId="0" applyFont="1" applyFill="1"/>
    <xf numFmtId="0" fontId="3" fillId="0" borderId="0" xfId="0" applyFont="1" applyAlignment="1">
      <alignment vertical="top"/>
    </xf>
    <xf numFmtId="0" fontId="3" fillId="2" borderId="4" xfId="0" applyFont="1" applyFill="1" applyBorder="1" applyAlignment="1">
      <alignment horizontal="center" vertical="center"/>
    </xf>
    <xf numFmtId="0" fontId="4" fillId="4" borderId="8" xfId="0" applyFont="1" applyFill="1" applyBorder="1"/>
    <xf numFmtId="0" fontId="4" fillId="4" borderId="11" xfId="0" applyFont="1" applyFill="1" applyBorder="1"/>
    <xf numFmtId="0" fontId="4" fillId="4" borderId="14" xfId="0" applyFont="1" applyFill="1" applyBorder="1"/>
    <xf numFmtId="164" fontId="6" fillId="0" borderId="19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0" fontId="6" fillId="0" borderId="13" xfId="0" applyNumberFormat="1" applyFont="1" applyBorder="1" applyAlignment="1">
      <alignment horizontal="center" vertical="center"/>
    </xf>
    <xf numFmtId="8" fontId="5" fillId="6" borderId="13" xfId="0" applyNumberFormat="1" applyFont="1" applyFill="1" applyBorder="1" applyAlignment="1">
      <alignment horizontal="center" vertical="center"/>
    </xf>
    <xf numFmtId="8" fontId="5" fillId="6" borderId="16" xfId="0" applyNumberFormat="1" applyFont="1" applyFill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0" fontId="5" fillId="0" borderId="13" xfId="0" applyNumberFormat="1" applyFont="1" applyBorder="1" applyAlignment="1">
      <alignment horizontal="center" vertical="center"/>
    </xf>
    <xf numFmtId="164" fontId="4" fillId="0" borderId="16" xfId="0" applyNumberFormat="1" applyFont="1" applyBorder="1" applyAlignment="1">
      <alignment horizontal="center" vertical="center"/>
    </xf>
    <xf numFmtId="8" fontId="4" fillId="4" borderId="9" xfId="0" applyNumberFormat="1" applyFont="1" applyFill="1" applyBorder="1" applyAlignment="1">
      <alignment horizontal="right" vertical="center"/>
    </xf>
    <xf numFmtId="8" fontId="4" fillId="4" borderId="12" xfId="0" applyNumberFormat="1" applyFont="1" applyFill="1" applyBorder="1" applyAlignment="1">
      <alignment horizontal="right" vertical="center"/>
    </xf>
    <xf numFmtId="8" fontId="4" fillId="4" borderId="15" xfId="0" applyNumberFormat="1" applyFont="1" applyFill="1" applyBorder="1" applyAlignment="1">
      <alignment horizontal="right" vertical="center"/>
    </xf>
    <xf numFmtId="8" fontId="4" fillId="4" borderId="10" xfId="0" applyNumberFormat="1" applyFont="1" applyFill="1" applyBorder="1" applyAlignment="1">
      <alignment horizontal="right" vertical="center"/>
    </xf>
    <xf numFmtId="8" fontId="4" fillId="4" borderId="13" xfId="0" applyNumberFormat="1" applyFont="1" applyFill="1" applyBorder="1" applyAlignment="1">
      <alignment horizontal="right" vertical="center"/>
    </xf>
    <xf numFmtId="8" fontId="4" fillId="4" borderId="16" xfId="0" applyNumberFormat="1" applyFont="1" applyFill="1" applyBorder="1" applyAlignment="1">
      <alignment horizontal="right" vertical="center"/>
    </xf>
    <xf numFmtId="0" fontId="4" fillId="4" borderId="0" xfId="0" applyFont="1" applyFill="1"/>
    <xf numFmtId="0" fontId="0" fillId="7" borderId="0" xfId="0" applyFill="1"/>
    <xf numFmtId="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7" fillId="8" borderId="5" xfId="0" applyFont="1" applyFill="1" applyBorder="1" applyAlignment="1">
      <alignment horizontal="center" vertical="top"/>
    </xf>
    <xf numFmtId="0" fontId="7" fillId="8" borderId="6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0" fillId="9" borderId="0" xfId="0" applyFill="1"/>
    <xf numFmtId="164" fontId="1" fillId="9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7" borderId="0" xfId="0" applyFont="1" applyFill="1"/>
    <xf numFmtId="8" fontId="0" fillId="7" borderId="0" xfId="0" applyNumberFormat="1" applyFill="1" applyAlignment="1">
      <alignment horizontal="center" vertical="center"/>
    </xf>
    <xf numFmtId="0" fontId="3" fillId="5" borderId="2" xfId="0" applyFont="1" applyFill="1" applyBorder="1" applyAlignment="1">
      <alignment horizontal="left" vertical="top"/>
    </xf>
    <xf numFmtId="0" fontId="3" fillId="5" borderId="3" xfId="0" applyFont="1" applyFill="1" applyBorder="1" applyAlignment="1">
      <alignment horizontal="left" vertical="top"/>
    </xf>
    <xf numFmtId="0" fontId="3" fillId="5" borderId="4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4" fillId="4" borderId="8" xfId="0" applyFont="1" applyFill="1" applyBorder="1" applyAlignment="1">
      <alignment horizontal="left"/>
    </xf>
    <xf numFmtId="0" fontId="4" fillId="4" borderId="9" xfId="0" applyFont="1" applyFill="1" applyBorder="1" applyAlignment="1">
      <alignment horizontal="left"/>
    </xf>
    <xf numFmtId="0" fontId="5" fillId="6" borderId="14" xfId="0" applyFont="1" applyFill="1" applyBorder="1" applyAlignment="1">
      <alignment horizontal="left"/>
    </xf>
    <xf numFmtId="0" fontId="5" fillId="6" borderId="15" xfId="0" applyFont="1" applyFill="1" applyBorder="1" applyAlignment="1">
      <alignment horizontal="left"/>
    </xf>
    <xf numFmtId="0" fontId="5" fillId="6" borderId="11" xfId="0" applyFont="1" applyFill="1" applyBorder="1" applyAlignment="1">
      <alignment horizontal="left"/>
    </xf>
    <xf numFmtId="0" fontId="5" fillId="6" borderId="12" xfId="0" applyFont="1" applyFill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4" fillId="4" borderId="14" xfId="0" applyFont="1" applyFill="1" applyBorder="1" applyAlignment="1">
      <alignment horizontal="left"/>
    </xf>
    <xf numFmtId="0" fontId="4" fillId="4" borderId="15" xfId="0" applyFont="1" applyFill="1" applyBorder="1" applyAlignment="1">
      <alignment horizontal="left"/>
    </xf>
    <xf numFmtId="0" fontId="4" fillId="4" borderId="11" xfId="0" applyFont="1" applyFill="1" applyBorder="1" applyAlignment="1">
      <alignment horizontal="left"/>
    </xf>
    <xf numFmtId="0" fontId="4" fillId="4" borderId="12" xfId="0" applyFont="1" applyFill="1" applyBorder="1" applyAlignment="1">
      <alignment horizontal="left"/>
    </xf>
    <xf numFmtId="164" fontId="5" fillId="4" borderId="0" xfId="0" applyNumberFormat="1" applyFont="1" applyFill="1" applyAlignment="1">
      <alignment horizontal="center" vertical="center"/>
    </xf>
    <xf numFmtId="9" fontId="0" fillId="4" borderId="0" xfId="0" applyNumberFormat="1" applyFill="1" applyAlignment="1">
      <alignment horizontal="center"/>
    </xf>
    <xf numFmtId="0" fontId="0" fillId="4" borderId="0" xfId="0" applyFill="1" applyAlignment="1">
      <alignment horizontal="right"/>
    </xf>
    <xf numFmtId="0" fontId="7" fillId="10" borderId="20" xfId="0" applyFont="1" applyFill="1" applyBorder="1" applyAlignment="1">
      <alignment horizontal="center" vertical="top"/>
    </xf>
    <xf numFmtId="0" fontId="0" fillId="0" borderId="21" xfId="0" applyBorder="1"/>
    <xf numFmtId="0" fontId="0" fillId="0" borderId="21" xfId="0" applyBorder="1" applyAlignment="1">
      <alignment horizontal="center"/>
    </xf>
    <xf numFmtId="0" fontId="4" fillId="0" borderId="21" xfId="0" applyFont="1" applyBorder="1" applyAlignment="1">
      <alignment horizontal="center"/>
    </xf>
    <xf numFmtId="9" fontId="0" fillId="0" borderId="21" xfId="0" applyNumberFormat="1" applyBorder="1" applyAlignment="1">
      <alignment horizontal="center" vertical="center"/>
    </xf>
    <xf numFmtId="0" fontId="0" fillId="0" borderId="20" xfId="0" applyBorder="1"/>
    <xf numFmtId="0" fontId="0" fillId="0" borderId="20" xfId="0" applyBorder="1" applyAlignment="1">
      <alignment horizontal="center"/>
    </xf>
    <xf numFmtId="0" fontId="4" fillId="0" borderId="20" xfId="0" applyFont="1" applyBorder="1" applyAlignment="1">
      <alignment horizontal="center"/>
    </xf>
    <xf numFmtId="9" fontId="0" fillId="0" borderId="20" xfId="0" applyNumberFormat="1" applyBorder="1" applyAlignment="1">
      <alignment horizontal="center" vertical="center"/>
    </xf>
    <xf numFmtId="0" fontId="0" fillId="11" borderId="22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0" fontId="0" fillId="11" borderId="2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'SIMULADOR DE INVESTIMENTO'!$B$29:$B$34</c:f>
              <c:strCache>
                <c:ptCount val="6"/>
                <c:pt idx="0">
                  <c:v>TIJOLO</c:v>
                </c:pt>
                <c:pt idx="1">
                  <c:v>PAPEL</c:v>
                </c:pt>
                <c:pt idx="2">
                  <c:v>HIBRIDO</c:v>
                </c:pt>
                <c:pt idx="3">
                  <c:v>FUNDOS FOF</c:v>
                </c:pt>
                <c:pt idx="4">
                  <c:v>DESENVOLVIMENTOS</c:v>
                </c:pt>
                <c:pt idx="5">
                  <c:v>HOTELARIAS</c:v>
                </c:pt>
              </c:strCache>
            </c:strRef>
          </c:cat>
          <c:val>
            <c:numRef>
              <c:f>'SIMULADOR DE INVESTIMENTO'!$C$29:$C$34</c:f>
              <c:numCache>
                <c:formatCode>0%</c:formatCode>
                <c:ptCount val="6"/>
                <c:pt idx="0">
                  <c:v>0.5</c:v>
                </c:pt>
                <c:pt idx="1">
                  <c:v>0.3</c:v>
                </c:pt>
                <c:pt idx="2">
                  <c:v>0.1</c:v>
                </c:pt>
                <c:pt idx="3">
                  <c:v>0.04</c:v>
                </c:pt>
                <c:pt idx="4">
                  <c:v>0.03</c:v>
                </c:pt>
                <c:pt idx="5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0D-4729-B672-99EA50A88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37</xdr:row>
      <xdr:rowOff>11430</xdr:rowOff>
    </xdr:from>
    <xdr:to>
      <xdr:col>4</xdr:col>
      <xdr:colOff>0</xdr:colOff>
      <xdr:row>52</xdr:row>
      <xdr:rowOff>11430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77A3676-52FB-BEC4-75DA-901BBA22F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1143000</xdr:colOff>
      <xdr:row>1</xdr:row>
      <xdr:rowOff>220980</xdr:rowOff>
    </xdr:from>
    <xdr:to>
      <xdr:col>1</xdr:col>
      <xdr:colOff>1264920</xdr:colOff>
      <xdr:row>1</xdr:row>
      <xdr:rowOff>769620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69945CC9-2013-01A0-6327-51F94551A978}"/>
            </a:ext>
          </a:extLst>
        </xdr:cNvPr>
        <xdr:cNvSpPr/>
      </xdr:nvSpPr>
      <xdr:spPr>
        <a:xfrm>
          <a:off x="1744980" y="411480"/>
          <a:ext cx="121920" cy="548640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1257300</xdr:colOff>
      <xdr:row>1</xdr:row>
      <xdr:rowOff>243840</xdr:rowOff>
    </xdr:from>
    <xdr:ext cx="3779520" cy="50174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2D9245C7-23F9-5F54-9ADC-CA332E28A15D}"/>
            </a:ext>
          </a:extLst>
        </xdr:cNvPr>
        <xdr:cNvSpPr txBox="1"/>
      </xdr:nvSpPr>
      <xdr:spPr>
        <a:xfrm>
          <a:off x="1859280" y="434340"/>
          <a:ext cx="3779520" cy="501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2400" b="1">
              <a:solidFill>
                <a:schemeClr val="accent6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PEPER</a:t>
          </a:r>
          <a:r>
            <a:rPr lang="pt-BR" sz="2400" b="1" baseline="0">
              <a:solidFill>
                <a:schemeClr val="accent6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INVESTIMENTOS</a:t>
          </a:r>
          <a:endParaRPr lang="pt-BR" sz="2400" b="1">
            <a:solidFill>
              <a:schemeClr val="accent6">
                <a:lumMod val="75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twoCellAnchor editAs="oneCell">
    <xdr:from>
      <xdr:col>1</xdr:col>
      <xdr:colOff>15240</xdr:colOff>
      <xdr:row>1</xdr:row>
      <xdr:rowOff>22861</xdr:rowOff>
    </xdr:from>
    <xdr:to>
      <xdr:col>1</xdr:col>
      <xdr:colOff>1105560</xdr:colOff>
      <xdr:row>1</xdr:row>
      <xdr:rowOff>922021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D21BFAF-D7F8-EDFF-40A5-B1A5D4966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20" y="213361"/>
          <a:ext cx="1090320" cy="899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F916D-9AEE-4340-83BD-5F59A6E7F59C}">
  <dimension ref="A1:XFC35"/>
  <sheetViews>
    <sheetView showGridLines="0" tabSelected="1" topLeftCell="A39" workbookViewId="0">
      <selection activeCell="E5" sqref="E5"/>
    </sheetView>
  </sheetViews>
  <sheetFormatPr defaultColWidth="0" defaultRowHeight="14.4" x14ac:dyDescent="0.3"/>
  <cols>
    <col min="1" max="1" width="8.77734375" customWidth="1"/>
    <col min="2" max="2" width="32.5546875" bestFit="1" customWidth="1"/>
    <col min="3" max="3" width="25.77734375" bestFit="1" customWidth="1"/>
    <col min="4" max="4" width="15.44140625" bestFit="1" customWidth="1"/>
    <col min="5" max="5" width="8.6640625" customWidth="1"/>
    <col min="6" max="7" width="3.77734375" hidden="1" customWidth="1"/>
    <col min="8" max="8" width="4.21875" hidden="1" customWidth="1"/>
    <col min="9" max="9" width="4.6640625" hidden="1" customWidth="1"/>
    <col min="10" max="11" width="8.88671875" hidden="1" customWidth="1"/>
    <col min="12" max="16383" width="8.88671875" hidden="1"/>
    <col min="16384" max="16384" width="0.109375" hidden="1" customWidth="1"/>
  </cols>
  <sheetData>
    <row r="1" spans="2:6" ht="15" thickBot="1" x14ac:dyDescent="0.35"/>
    <row r="2" spans="2:6" ht="75" customHeight="1" thickTop="1" thickBot="1" x14ac:dyDescent="0.35">
      <c r="B2" s="70"/>
      <c r="C2" s="71"/>
      <c r="D2" s="72"/>
    </row>
    <row r="3" spans="2:6" ht="15" thickTop="1" x14ac:dyDescent="0.3"/>
    <row r="4" spans="2:6" ht="20.399999999999999" x14ac:dyDescent="0.3">
      <c r="B4" s="40" t="s">
        <v>4</v>
      </c>
      <c r="C4" s="41"/>
      <c r="D4" s="41"/>
      <c r="E4" s="3"/>
      <c r="F4" s="3"/>
    </row>
    <row r="5" spans="2:6" ht="15" thickBot="1" x14ac:dyDescent="0.35"/>
    <row r="6" spans="2:6" ht="20.399999999999999" x14ac:dyDescent="0.3">
      <c r="B6" s="34" t="s">
        <v>5</v>
      </c>
      <c r="C6" s="35"/>
      <c r="D6" s="36"/>
    </row>
    <row r="7" spans="2:6" ht="15.6" x14ac:dyDescent="0.3">
      <c r="B7" s="42" t="s">
        <v>6</v>
      </c>
      <c r="C7" s="43"/>
      <c r="D7" s="13">
        <v>3000</v>
      </c>
    </row>
    <row r="8" spans="2:6" ht="15.6" x14ac:dyDescent="0.3">
      <c r="B8" s="56" t="s">
        <v>7</v>
      </c>
      <c r="C8" s="57"/>
      <c r="D8" s="14">
        <v>1.0789999999999999E-2</v>
      </c>
    </row>
    <row r="9" spans="2:6" ht="16.2" thickBot="1" x14ac:dyDescent="0.35">
      <c r="B9" s="54" t="s">
        <v>28</v>
      </c>
      <c r="C9" s="55"/>
      <c r="D9" s="15">
        <f>D7*30%</f>
        <v>900</v>
      </c>
    </row>
    <row r="10" spans="2:6" ht="15" thickBot="1" x14ac:dyDescent="0.35"/>
    <row r="11" spans="2:6" ht="21" thickBot="1" x14ac:dyDescent="0.35">
      <c r="B11" s="37" t="s">
        <v>1</v>
      </c>
      <c r="C11" s="38"/>
      <c r="D11" s="39"/>
    </row>
    <row r="12" spans="2:6" ht="19.8" thickTop="1" x14ac:dyDescent="0.3">
      <c r="B12" s="50" t="s">
        <v>8</v>
      </c>
      <c r="C12" s="51"/>
      <c r="D12" s="8">
        <v>900</v>
      </c>
    </row>
    <row r="13" spans="2:6" ht="19.2" x14ac:dyDescent="0.3">
      <c r="B13" s="48" t="s">
        <v>9</v>
      </c>
      <c r="C13" s="49"/>
      <c r="D13" s="9">
        <v>5</v>
      </c>
    </row>
    <row r="14" spans="2:6" ht="19.2" x14ac:dyDescent="0.3">
      <c r="B14" s="48" t="s">
        <v>0</v>
      </c>
      <c r="C14" s="49"/>
      <c r="D14" s="10">
        <v>1.0789999999999999E-2</v>
      </c>
    </row>
    <row r="15" spans="2:6" ht="15.6" x14ac:dyDescent="0.3">
      <c r="B15" s="46" t="s">
        <v>10</v>
      </c>
      <c r="C15" s="47"/>
      <c r="D15" s="11">
        <f>FV(D14,D13*12,D12)*(-1)</f>
        <v>75399.22259863888</v>
      </c>
    </row>
    <row r="16" spans="2:6" ht="16.2" thickBot="1" x14ac:dyDescent="0.35">
      <c r="B16" s="44" t="s">
        <v>11</v>
      </c>
      <c r="C16" s="45"/>
      <c r="D16" s="12">
        <f>D15*$D$8</f>
        <v>813.55761183931349</v>
      </c>
    </row>
    <row r="17" spans="1:4" ht="15" thickBot="1" x14ac:dyDescent="0.35"/>
    <row r="18" spans="1:4" ht="20.399999999999999" x14ac:dyDescent="0.3">
      <c r="B18" s="52" t="s">
        <v>2</v>
      </c>
      <c r="C18" s="53"/>
      <c r="D18" s="4" t="s">
        <v>3</v>
      </c>
    </row>
    <row r="19" spans="1:4" ht="15.6" x14ac:dyDescent="0.3">
      <c r="A19" s="2">
        <v>2</v>
      </c>
      <c r="B19" s="5" t="s">
        <v>29</v>
      </c>
      <c r="C19" s="16">
        <f>FV($D$14,$A19*12,$D$12*(-1))</f>
        <v>24504.864567880697</v>
      </c>
      <c r="D19" s="19">
        <f>C19*$D$8</f>
        <v>264.4074886874327</v>
      </c>
    </row>
    <row r="20" spans="1:4" ht="15.6" x14ac:dyDescent="0.3">
      <c r="A20" s="2">
        <v>5</v>
      </c>
      <c r="B20" s="6" t="s">
        <v>30</v>
      </c>
      <c r="C20" s="17">
        <f t="shared" ref="C20:C23" si="0">FV($D$14,$A20*12,$D$12*(-1))</f>
        <v>75399.22259863888</v>
      </c>
      <c r="D20" s="20">
        <f t="shared" ref="D20:D23" si="1">C20*$D$8</f>
        <v>813.55761183931349</v>
      </c>
    </row>
    <row r="21" spans="1:4" ht="15.6" x14ac:dyDescent="0.3">
      <c r="A21" s="2">
        <v>10</v>
      </c>
      <c r="B21" s="6" t="s">
        <v>31</v>
      </c>
      <c r="C21" s="17">
        <f t="shared" si="0"/>
        <v>218955.79127715499</v>
      </c>
      <c r="D21" s="20">
        <f t="shared" si="1"/>
        <v>2362.5329878805023</v>
      </c>
    </row>
    <row r="22" spans="1:4" ht="15.6" x14ac:dyDescent="0.3">
      <c r="A22" s="2">
        <v>20</v>
      </c>
      <c r="B22" s="6" t="s">
        <v>32</v>
      </c>
      <c r="C22" s="17">
        <f t="shared" si="0"/>
        <v>1012678.5600873725</v>
      </c>
      <c r="D22" s="20">
        <f t="shared" si="1"/>
        <v>10926.801663342749</v>
      </c>
    </row>
    <row r="23" spans="1:4" ht="16.2" thickBot="1" x14ac:dyDescent="0.35">
      <c r="A23" s="2">
        <v>30</v>
      </c>
      <c r="B23" s="7" t="s">
        <v>33</v>
      </c>
      <c r="C23" s="18">
        <f t="shared" si="0"/>
        <v>3889952.689504243</v>
      </c>
      <c r="D23" s="21">
        <f t="shared" si="1"/>
        <v>41972.589519750778</v>
      </c>
    </row>
    <row r="24" spans="1:4" x14ac:dyDescent="0.3">
      <c r="C24" s="1"/>
    </row>
    <row r="25" spans="1:4" ht="15.6" x14ac:dyDescent="0.3">
      <c r="B25" s="32" t="s">
        <v>17</v>
      </c>
      <c r="C25" s="33" t="s">
        <v>19</v>
      </c>
      <c r="D25" s="23"/>
    </row>
    <row r="26" spans="1:4" ht="15.6" x14ac:dyDescent="0.3">
      <c r="B26" s="22" t="s">
        <v>20</v>
      </c>
      <c r="C26" s="58">
        <f>D12</f>
        <v>900</v>
      </c>
    </row>
    <row r="27" spans="1:4" ht="15" thickBot="1" x14ac:dyDescent="0.35">
      <c r="C27" s="1"/>
    </row>
    <row r="28" spans="1:4" ht="21" thickBot="1" x14ac:dyDescent="0.35">
      <c r="B28" s="26" t="s">
        <v>21</v>
      </c>
      <c r="C28" s="27" t="s">
        <v>23</v>
      </c>
      <c r="D28" s="28" t="s">
        <v>24</v>
      </c>
    </row>
    <row r="29" spans="1:4" ht="16.2" thickTop="1" x14ac:dyDescent="0.3">
      <c r="B29" s="31" t="s">
        <v>12</v>
      </c>
      <c r="C29" s="24">
        <f>VLOOKUP($C$25&amp;"-"&amp;B29,'TABELA DE APOIO'!$A:$D,4,FALSE)</f>
        <v>0.5</v>
      </c>
      <c r="D29" s="25">
        <f>C29*$C$26</f>
        <v>450</v>
      </c>
    </row>
    <row r="30" spans="1:4" ht="15.6" x14ac:dyDescent="0.3">
      <c r="B30" s="31" t="s">
        <v>13</v>
      </c>
      <c r="C30" s="24">
        <f>VLOOKUP($C$25&amp;"-"&amp;B30,'TABELA DE APOIO'!$A:$D,4,FALSE)</f>
        <v>0.3</v>
      </c>
      <c r="D30" s="25">
        <f t="shared" ref="D30:D34" si="2">C30*$C$26</f>
        <v>270</v>
      </c>
    </row>
    <row r="31" spans="1:4" ht="15.6" x14ac:dyDescent="0.3">
      <c r="B31" s="31" t="s">
        <v>14</v>
      </c>
      <c r="C31" s="24">
        <f>VLOOKUP($C$25&amp;"-"&amp;B31,'TABELA DE APOIO'!$A:$D,4,FALSE)</f>
        <v>0.1</v>
      </c>
      <c r="D31" s="25">
        <f t="shared" si="2"/>
        <v>90</v>
      </c>
    </row>
    <row r="32" spans="1:4" ht="15.6" x14ac:dyDescent="0.3">
      <c r="B32" s="31" t="s">
        <v>16</v>
      </c>
      <c r="C32" s="24">
        <f>VLOOKUP($C$25&amp;"-"&amp;B32,'TABELA DE APOIO'!$A:$D,4,FALSE)</f>
        <v>0.04</v>
      </c>
      <c r="D32" s="25">
        <f t="shared" si="2"/>
        <v>36</v>
      </c>
    </row>
    <row r="33" spans="2:4" ht="15.6" x14ac:dyDescent="0.3">
      <c r="B33" s="31" t="s">
        <v>15</v>
      </c>
      <c r="C33" s="24">
        <f>VLOOKUP($C$25&amp;"-"&amp;B33,'TABELA DE APOIO'!$A:$D,4,FALSE)</f>
        <v>0.03</v>
      </c>
      <c r="D33" s="25">
        <f t="shared" si="2"/>
        <v>27</v>
      </c>
    </row>
    <row r="34" spans="2:4" ht="15.6" x14ac:dyDescent="0.3">
      <c r="B34" s="31" t="s">
        <v>22</v>
      </c>
      <c r="C34" s="24">
        <f>VLOOKUP($C$25&amp;"-"&amp;B34,'TABELA DE APOIO'!$A:$D,4,FALSE)</f>
        <v>0.03</v>
      </c>
      <c r="D34" s="25">
        <f t="shared" si="2"/>
        <v>27</v>
      </c>
    </row>
    <row r="35" spans="2:4" x14ac:dyDescent="0.3">
      <c r="B35" s="29"/>
      <c r="C35" s="29"/>
      <c r="D35" s="30">
        <f>SUM(D29:D34)</f>
        <v>900</v>
      </c>
    </row>
  </sheetData>
  <mergeCells count="13">
    <mergeCell ref="B18:C18"/>
    <mergeCell ref="B9:C9"/>
    <mergeCell ref="B8:C8"/>
    <mergeCell ref="B2:D2"/>
    <mergeCell ref="B6:D6"/>
    <mergeCell ref="B11:D11"/>
    <mergeCell ref="B4:D4"/>
    <mergeCell ref="B7:C7"/>
    <mergeCell ref="B16:C16"/>
    <mergeCell ref="B15:C15"/>
    <mergeCell ref="B14:C14"/>
    <mergeCell ref="B13:C13"/>
    <mergeCell ref="B12:C12"/>
  </mergeCells>
  <dataValidations count="1">
    <dataValidation type="list" allowBlank="1" showInputMessage="1" showErrorMessage="1" sqref="C25" xr:uid="{CE4968E5-6B92-45CC-B856-C26877735C16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6A55F-BFC3-4D02-825B-ABE95A0B292E}">
  <dimension ref="A1:D23"/>
  <sheetViews>
    <sheetView topLeftCell="A8" workbookViewId="0">
      <selection activeCell="G8" sqref="G8"/>
    </sheetView>
  </sheetViews>
  <sheetFormatPr defaultRowHeight="14.4" x14ac:dyDescent="0.3"/>
  <cols>
    <col min="1" max="1" width="32.5546875" bestFit="1" customWidth="1"/>
    <col min="2" max="2" width="16.77734375" customWidth="1"/>
    <col min="3" max="3" width="20.5546875" bestFit="1" customWidth="1"/>
  </cols>
  <sheetData>
    <row r="1" spans="1:4" ht="15" thickBot="1" x14ac:dyDescent="0.35"/>
    <row r="2" spans="1:4" ht="21" thickBot="1" x14ac:dyDescent="0.35">
      <c r="A2" s="61" t="s">
        <v>26</v>
      </c>
      <c r="B2" s="61" t="s">
        <v>17</v>
      </c>
      <c r="C2" s="61" t="s">
        <v>21</v>
      </c>
      <c r="D2" s="61" t="s">
        <v>25</v>
      </c>
    </row>
    <row r="3" spans="1:4" ht="16.2" thickBot="1" x14ac:dyDescent="0.35">
      <c r="A3" s="66" t="str">
        <f>$B$3&amp;"-"&amp;C3</f>
        <v>CONSERVADOR-TIJOLO</v>
      </c>
      <c r="B3" s="67" t="s">
        <v>19</v>
      </c>
      <c r="C3" s="68" t="s">
        <v>12</v>
      </c>
      <c r="D3" s="69">
        <v>0.5</v>
      </c>
    </row>
    <row r="4" spans="1:4" ht="16.2" thickBot="1" x14ac:dyDescent="0.35">
      <c r="A4" s="66" t="str">
        <f t="shared" ref="A4:A8" si="0">$B$3&amp;"-"&amp;C4</f>
        <v>CONSERVADOR-PAPEL</v>
      </c>
      <c r="B4" s="67" t="s">
        <v>19</v>
      </c>
      <c r="C4" s="68" t="s">
        <v>13</v>
      </c>
      <c r="D4" s="69">
        <v>0.3</v>
      </c>
    </row>
    <row r="5" spans="1:4" ht="16.2" thickBot="1" x14ac:dyDescent="0.35">
      <c r="A5" s="66" t="str">
        <f t="shared" si="0"/>
        <v>CONSERVADOR-HIBRIDO</v>
      </c>
      <c r="B5" s="67" t="s">
        <v>19</v>
      </c>
      <c r="C5" s="68" t="s">
        <v>14</v>
      </c>
      <c r="D5" s="69">
        <v>0.1</v>
      </c>
    </row>
    <row r="6" spans="1:4" ht="16.2" thickBot="1" x14ac:dyDescent="0.35">
      <c r="A6" s="66" t="str">
        <f t="shared" si="0"/>
        <v>CONSERVADOR-FUNDOS FOF</v>
      </c>
      <c r="B6" s="67" t="s">
        <v>19</v>
      </c>
      <c r="C6" s="68" t="s">
        <v>16</v>
      </c>
      <c r="D6" s="69">
        <v>0.04</v>
      </c>
    </row>
    <row r="7" spans="1:4" ht="16.2" thickBot="1" x14ac:dyDescent="0.35">
      <c r="A7" s="66" t="str">
        <f t="shared" si="0"/>
        <v>CONSERVADOR-DESENVOLVIMENTOS</v>
      </c>
      <c r="B7" s="67" t="s">
        <v>19</v>
      </c>
      <c r="C7" s="68" t="s">
        <v>15</v>
      </c>
      <c r="D7" s="69">
        <v>0.03</v>
      </c>
    </row>
    <row r="8" spans="1:4" ht="16.2" thickBot="1" x14ac:dyDescent="0.35">
      <c r="A8" s="66" t="str">
        <f t="shared" si="0"/>
        <v>CONSERVADOR-HOTELARIAS</v>
      </c>
      <c r="B8" s="67" t="s">
        <v>19</v>
      </c>
      <c r="C8" s="68" t="s">
        <v>22</v>
      </c>
      <c r="D8" s="69">
        <v>0.03</v>
      </c>
    </row>
    <row r="9" spans="1:4" ht="15" thickBot="1" x14ac:dyDescent="0.35">
      <c r="A9" s="60" t="s">
        <v>34</v>
      </c>
      <c r="B9" s="60"/>
      <c r="C9" s="60"/>
      <c r="D9" s="59">
        <f>SUM(D3:D8)</f>
        <v>1</v>
      </c>
    </row>
    <row r="10" spans="1:4" ht="16.2" thickBot="1" x14ac:dyDescent="0.35">
      <c r="A10" s="62" t="str">
        <f>$B$10&amp;"-"&amp;C10</f>
        <v>MODERADO-TIJOLO</v>
      </c>
      <c r="B10" s="63" t="s">
        <v>27</v>
      </c>
      <c r="C10" s="64" t="s">
        <v>12</v>
      </c>
      <c r="D10" s="65">
        <v>0.35</v>
      </c>
    </row>
    <row r="11" spans="1:4" ht="16.2" thickBot="1" x14ac:dyDescent="0.35">
      <c r="A11" s="62" t="str">
        <f t="shared" ref="A11:A15" si="1">$B$10&amp;"-"&amp;C11</f>
        <v>MODERADO-PAPEL</v>
      </c>
      <c r="B11" s="63" t="s">
        <v>27</v>
      </c>
      <c r="C11" s="64" t="s">
        <v>13</v>
      </c>
      <c r="D11" s="65">
        <v>0.32</v>
      </c>
    </row>
    <row r="12" spans="1:4" ht="16.2" thickBot="1" x14ac:dyDescent="0.35">
      <c r="A12" s="62" t="str">
        <f t="shared" si="1"/>
        <v>MODERADO-HIBRIDO</v>
      </c>
      <c r="B12" s="63" t="s">
        <v>27</v>
      </c>
      <c r="C12" s="64" t="s">
        <v>14</v>
      </c>
      <c r="D12" s="65">
        <v>0.08</v>
      </c>
    </row>
    <row r="13" spans="1:4" ht="16.2" thickBot="1" x14ac:dyDescent="0.35">
      <c r="A13" s="62" t="str">
        <f t="shared" si="1"/>
        <v>MODERADO-FUNDOS FOF</v>
      </c>
      <c r="B13" s="63" t="s">
        <v>27</v>
      </c>
      <c r="C13" s="64" t="s">
        <v>16</v>
      </c>
      <c r="D13" s="65">
        <v>0.05</v>
      </c>
    </row>
    <row r="14" spans="1:4" ht="16.2" thickBot="1" x14ac:dyDescent="0.35">
      <c r="A14" s="62" t="str">
        <f t="shared" si="1"/>
        <v>MODERADO-DESENVOLVIMENTOS</v>
      </c>
      <c r="B14" s="63" t="s">
        <v>27</v>
      </c>
      <c r="C14" s="64" t="s">
        <v>15</v>
      </c>
      <c r="D14" s="65">
        <v>0.1</v>
      </c>
    </row>
    <row r="15" spans="1:4" ht="16.2" thickBot="1" x14ac:dyDescent="0.35">
      <c r="A15" s="62" t="str">
        <f t="shared" si="1"/>
        <v>MODERADO-HOTELARIAS</v>
      </c>
      <c r="B15" s="63" t="s">
        <v>27</v>
      </c>
      <c r="C15" s="64" t="s">
        <v>22</v>
      </c>
      <c r="D15" s="65">
        <v>0.1</v>
      </c>
    </row>
    <row r="16" spans="1:4" ht="15" thickBot="1" x14ac:dyDescent="0.35">
      <c r="A16" s="60" t="s">
        <v>34</v>
      </c>
      <c r="B16" s="60"/>
      <c r="C16" s="60"/>
      <c r="D16" s="59">
        <f>SUM(D10:D15)</f>
        <v>0.99999999999999989</v>
      </c>
    </row>
    <row r="17" spans="1:4" ht="16.2" thickBot="1" x14ac:dyDescent="0.35">
      <c r="A17" s="62" t="str">
        <f>$B$17&amp;"-"&amp;C17</f>
        <v>AGRESSIVO-TIJOLO</v>
      </c>
      <c r="B17" s="63" t="s">
        <v>18</v>
      </c>
      <c r="C17" s="64" t="s">
        <v>12</v>
      </c>
      <c r="D17" s="65">
        <v>0.1</v>
      </c>
    </row>
    <row r="18" spans="1:4" ht="16.2" thickBot="1" x14ac:dyDescent="0.35">
      <c r="A18" s="62" t="str">
        <f t="shared" ref="A18:A22" si="2">$B$17&amp;"-"&amp;C18</f>
        <v>AGRESSIVO-PAPEL</v>
      </c>
      <c r="B18" s="63" t="s">
        <v>18</v>
      </c>
      <c r="C18" s="64" t="s">
        <v>13</v>
      </c>
      <c r="D18" s="65">
        <v>0.5</v>
      </c>
    </row>
    <row r="19" spans="1:4" ht="16.2" thickBot="1" x14ac:dyDescent="0.35">
      <c r="A19" s="62" t="str">
        <f t="shared" si="2"/>
        <v>AGRESSIVO-HIBRIDO</v>
      </c>
      <c r="B19" s="63" t="s">
        <v>18</v>
      </c>
      <c r="C19" s="64" t="s">
        <v>14</v>
      </c>
      <c r="D19" s="65">
        <v>0.05</v>
      </c>
    </row>
    <row r="20" spans="1:4" ht="16.2" thickBot="1" x14ac:dyDescent="0.35">
      <c r="A20" s="62" t="str">
        <f t="shared" si="2"/>
        <v>AGRESSIVO-FUNDOS FOF</v>
      </c>
      <c r="B20" s="63" t="s">
        <v>18</v>
      </c>
      <c r="C20" s="64" t="s">
        <v>16</v>
      </c>
      <c r="D20" s="65">
        <v>0.05</v>
      </c>
    </row>
    <row r="21" spans="1:4" ht="16.2" thickBot="1" x14ac:dyDescent="0.35">
      <c r="A21" s="62" t="str">
        <f t="shared" si="2"/>
        <v>AGRESSIVO-DESENVOLVIMENTOS</v>
      </c>
      <c r="B21" s="63" t="s">
        <v>18</v>
      </c>
      <c r="C21" s="64" t="s">
        <v>15</v>
      </c>
      <c r="D21" s="65">
        <v>0.2</v>
      </c>
    </row>
    <row r="22" spans="1:4" ht="16.2" thickBot="1" x14ac:dyDescent="0.35">
      <c r="A22" s="62" t="str">
        <f t="shared" si="2"/>
        <v>AGRESSIVO-HOTELARIAS</v>
      </c>
      <c r="B22" s="63" t="s">
        <v>18</v>
      </c>
      <c r="C22" s="64" t="s">
        <v>22</v>
      </c>
      <c r="D22" s="65">
        <v>0.1</v>
      </c>
    </row>
    <row r="23" spans="1:4" x14ac:dyDescent="0.3">
      <c r="A23" s="60" t="s">
        <v>34</v>
      </c>
      <c r="B23" s="60"/>
      <c r="C23" s="60"/>
      <c r="D23" s="59">
        <f>SUM(D17:D22)</f>
        <v>1.0000000000000002</v>
      </c>
    </row>
  </sheetData>
  <mergeCells count="3">
    <mergeCell ref="A9:C9"/>
    <mergeCell ref="A16:C16"/>
    <mergeCell ref="A23:C2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9</vt:i4>
      </vt:variant>
    </vt:vector>
  </HeadingPairs>
  <TitlesOfParts>
    <vt:vector size="11" baseType="lpstr">
      <vt:lpstr>SIMULADOR DE INVESTIMENTO</vt:lpstr>
      <vt:lpstr>TABELA DE APOIO</vt:lpstr>
      <vt:lpstr>Aporte</vt:lpstr>
      <vt:lpstr>Dividendos_Mensais</vt:lpstr>
      <vt:lpstr>Patrimonio_Acumulado</vt:lpstr>
      <vt:lpstr>Qtd_Anos</vt:lpstr>
      <vt:lpstr>Rendimento_de_Carteira</vt:lpstr>
      <vt:lpstr>Rendimento_Mensal</vt:lpstr>
      <vt:lpstr>Salario</vt:lpstr>
      <vt:lpstr>Sugestao_de_Investimento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Andson Silva</dc:creator>
  <cp:lastModifiedBy>Andson Silva</cp:lastModifiedBy>
  <dcterms:created xsi:type="dcterms:W3CDTF">2026-02-09T02:10:17Z</dcterms:created>
  <dcterms:modified xsi:type="dcterms:W3CDTF">2026-02-09T06:26:59Z</dcterms:modified>
</cp:coreProperties>
</file>